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6535" windowHeight="14490"/>
  </bookViews>
  <sheets>
    <sheet name="Математик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5" i="1" l="1"/>
  <c r="A23" i="1"/>
  <c r="AA3" i="1"/>
  <c r="Z10" i="1"/>
  <c r="Z3" i="1"/>
  <c r="Z4" i="1"/>
  <c r="Z5" i="1"/>
  <c r="Z6" i="1"/>
  <c r="Z7" i="1"/>
  <c r="Z2" i="1"/>
  <c r="X3" i="1"/>
  <c r="X4" i="1"/>
  <c r="X5" i="1"/>
  <c r="X6" i="1"/>
  <c r="X7" i="1"/>
  <c r="X2" i="1"/>
  <c r="T4" i="1"/>
  <c r="J3" i="1"/>
  <c r="J4" i="1"/>
  <c r="J5" i="1"/>
  <c r="J6" i="1"/>
  <c r="J7" i="1"/>
  <c r="J8" i="1"/>
  <c r="J2" i="1"/>
  <c r="I3" i="1"/>
  <c r="I4" i="1"/>
  <c r="I5" i="1"/>
  <c r="I6" i="1"/>
  <c r="I7" i="1"/>
  <c r="I8" i="1"/>
  <c r="I2" i="1"/>
  <c r="H3" i="1"/>
  <c r="H4" i="1"/>
  <c r="H5" i="1"/>
  <c r="H6" i="1"/>
  <c r="H7" i="1"/>
  <c r="H8" i="1"/>
  <c r="H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<sst xmlns="http://schemas.openxmlformats.org/spreadsheetml/2006/main" count="16" uniqueCount="16">
  <si>
    <t>№ детали</t>
  </si>
  <si>
    <t>Радиус R(мм)</t>
  </si>
  <si>
    <t>Высота р(мм)</t>
  </si>
  <si>
    <t>Масса m (кг)</t>
  </si>
  <si>
    <t>Длина L(мм)</t>
  </si>
  <si>
    <t>№ п/п</t>
  </si>
  <si>
    <t>Диаметр (мм)</t>
  </si>
  <si>
    <t>Объем(мм³)</t>
  </si>
  <si>
    <t>√V</t>
  </si>
  <si>
    <t>норма массы,кг</t>
  </si>
  <si>
    <t>|m - 3|</t>
  </si>
  <si>
    <t>Длинадуги</t>
  </si>
  <si>
    <t>Дуга через РАДИАНЫ</t>
  </si>
  <si>
    <t>Сумма Кредита</t>
  </si>
  <si>
    <t>Годовая ставка</t>
  </si>
  <si>
    <t>Срок(лет)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</si>
</sst>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2" fontId="0" fillId="0" borderId="2" xfId="0" applyNumberFormat="1" applyFill="1" applyBorder="1"/>
    <xf numFmtId="0" fontId="1" fillId="2" borderId="3" xfId="0" applyFont="1" applyFill="1" applyBorder="1" applyAlignment="1">
      <alignment horizontal="center"/>
    </xf>
    <xf numFmtId="9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tabSelected="1" workbookViewId="0">
      <selection activeCell="A27" sqref="A27"/>
    </sheetView>
  </sheetViews>
  <sheetFormatPr defaultRowHeight="15" x14ac:dyDescent="0.25"/>
  <cols>
    <col min="1" max="1" width="10.42578125" customWidth="1"/>
    <col min="2" max="2" width="14.42578125" customWidth="1"/>
    <col min="3" max="3" width="12.5703125" customWidth="1"/>
    <col min="4" max="4" width="11.85546875" customWidth="1"/>
    <col min="5" max="5" width="12.85546875" customWidth="1"/>
    <col min="6" max="6" width="13.5703125" customWidth="1"/>
    <col min="8" max="8" width="12" customWidth="1"/>
    <col min="9" max="9" width="9.5703125" customWidth="1"/>
    <col min="12" max="12" width="17.7109375" customWidth="1"/>
    <col min="20" max="20" width="10" bestFit="1" customWidth="1"/>
    <col min="24" max="24" width="11.28515625" customWidth="1"/>
    <col min="26" max="26" width="20.85546875" customWidth="1"/>
  </cols>
  <sheetData>
    <row r="1" spans="1:2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6</v>
      </c>
      <c r="G1" s="5" t="s">
        <v>5</v>
      </c>
      <c r="H1" s="5" t="s">
        <v>7</v>
      </c>
      <c r="I1" s="5" t="s">
        <v>8</v>
      </c>
      <c r="J1" s="5" t="s">
        <v>10</v>
      </c>
      <c r="K1">
        <v>3</v>
      </c>
      <c r="L1" s="1" t="s">
        <v>9</v>
      </c>
      <c r="T1">
        <v>100000</v>
      </c>
      <c r="X1" t="s">
        <v>11</v>
      </c>
      <c r="Y1">
        <v>60</v>
      </c>
      <c r="Z1" t="s">
        <v>12</v>
      </c>
      <c r="AA1">
        <v>21.8</v>
      </c>
    </row>
    <row r="2" spans="1:27" x14ac:dyDescent="0.25">
      <c r="A2" s="3">
        <v>1</v>
      </c>
      <c r="B2" s="4">
        <v>12.5</v>
      </c>
      <c r="C2" s="4">
        <v>12.5</v>
      </c>
      <c r="D2" s="4">
        <v>12.5</v>
      </c>
      <c r="E2" s="4">
        <v>12.5</v>
      </c>
      <c r="F2">
        <f>2*B2</f>
        <v>25</v>
      </c>
      <c r="G2" s="6">
        <v>1</v>
      </c>
      <c r="H2">
        <f>PI()*POWER(B2,2)*C2</f>
        <v>6135.9231515425645</v>
      </c>
      <c r="I2">
        <f>SQRT(H2)</f>
        <v>78.332133582218759</v>
      </c>
      <c r="J2">
        <f>ABS(D2-$K$1)</f>
        <v>9.5</v>
      </c>
      <c r="T2" s="8">
        <v>0.12</v>
      </c>
      <c r="X2">
        <f>PI()*B2*$Y$1/180</f>
        <v>13.089969389957471</v>
      </c>
      <c r="Z2">
        <f>B2*RADIANS($Y$1)</f>
        <v>13.089969389957471</v>
      </c>
      <c r="AA2">
        <v>17.100000000000001</v>
      </c>
    </row>
    <row r="3" spans="1:27" x14ac:dyDescent="0.25">
      <c r="A3" s="3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>
        <f t="shared" ref="F3:F8" si="0">2*B3</f>
        <v>16.600000000000001</v>
      </c>
      <c r="G3">
        <v>2</v>
      </c>
      <c r="H3">
        <f t="shared" ref="H3:H8" si="1">PI()*POWER(B3,2)*C3</f>
        <v>5410.6079476450223</v>
      </c>
      <c r="I3">
        <f t="shared" ref="I3:I8" si="2">SQRT(H3)</f>
        <v>73.556834812578927</v>
      </c>
      <c r="J3">
        <f t="shared" ref="J3:J8" si="3">ABS(D3-$K$1)</f>
        <v>1.9</v>
      </c>
      <c r="T3">
        <v>5</v>
      </c>
      <c r="X3">
        <f t="shared" ref="X3:X7" si="4">PI()*B3*$Y$1/180</f>
        <v>8.6917396749317621</v>
      </c>
      <c r="Z3">
        <f t="shared" ref="Z3:Z7" si="5">B3*RADIANS($Y$1)</f>
        <v>8.6917396749317604</v>
      </c>
      <c r="AA3">
        <f>SUMPRODUCT(D2:D8,E2:E8)/SUM(E2:E8)</f>
        <v>4.3851405622489965</v>
      </c>
    </row>
    <row r="4" spans="1:27" x14ac:dyDescent="0.25">
      <c r="A4" s="3">
        <v>3</v>
      </c>
      <c r="B4" s="3">
        <v>15.7</v>
      </c>
      <c r="C4" s="3">
        <v>40</v>
      </c>
      <c r="D4" s="3">
        <v>4</v>
      </c>
      <c r="E4" s="3">
        <v>210</v>
      </c>
      <c r="F4">
        <f t="shared" si="0"/>
        <v>31.4</v>
      </c>
      <c r="G4" s="6">
        <v>3</v>
      </c>
      <c r="H4">
        <f t="shared" si="1"/>
        <v>30974.846927333921</v>
      </c>
      <c r="I4">
        <f t="shared" si="2"/>
        <v>175.99672419489494</v>
      </c>
      <c r="J4">
        <f t="shared" si="3"/>
        <v>1</v>
      </c>
      <c r="T4">
        <f>T1*POWER(1+T2,T3)</f>
        <v>176234.16832000006</v>
      </c>
      <c r="X4">
        <f t="shared" si="4"/>
        <v>16.441001553786581</v>
      </c>
      <c r="Z4">
        <f t="shared" si="5"/>
        <v>16.441001553786581</v>
      </c>
      <c r="AA4">
        <v>4</v>
      </c>
    </row>
    <row r="5" spans="1:27" x14ac:dyDescent="0.25">
      <c r="A5" s="3">
        <v>4</v>
      </c>
      <c r="B5" s="3">
        <v>6.2</v>
      </c>
      <c r="C5" s="3">
        <v>18</v>
      </c>
      <c r="D5" s="3">
        <v>0.7</v>
      </c>
      <c r="E5" s="3">
        <v>75</v>
      </c>
      <c r="F5">
        <f t="shared" si="0"/>
        <v>12.4</v>
      </c>
      <c r="G5">
        <v>4</v>
      </c>
      <c r="H5">
        <f t="shared" si="1"/>
        <v>2173.7307888718501</v>
      </c>
      <c r="I5">
        <f t="shared" si="2"/>
        <v>46.623285908136616</v>
      </c>
      <c r="J5">
        <f t="shared" si="3"/>
        <v>2.2999999999999998</v>
      </c>
      <c r="T5" s="9">
        <v>182211.88</v>
      </c>
      <c r="X5">
        <f t="shared" si="4"/>
        <v>6.4926248174189052</v>
      </c>
      <c r="Z5">
        <f t="shared" si="5"/>
        <v>6.4926248174189052</v>
      </c>
      <c r="AA5">
        <v>3.11</v>
      </c>
    </row>
    <row r="6" spans="1:27" x14ac:dyDescent="0.25">
      <c r="A6" s="3">
        <v>5</v>
      </c>
      <c r="B6" s="3">
        <v>20.100000000000001</v>
      </c>
      <c r="C6" s="3">
        <v>55</v>
      </c>
      <c r="D6" s="3">
        <v>6.5</v>
      </c>
      <c r="E6" s="3">
        <v>320</v>
      </c>
      <c r="F6">
        <f t="shared" si="0"/>
        <v>40.200000000000003</v>
      </c>
      <c r="G6" s="6">
        <v>5</v>
      </c>
      <c r="H6">
        <f t="shared" si="1"/>
        <v>69807.916638724681</v>
      </c>
      <c r="I6">
        <f t="shared" si="2"/>
        <v>264.21187830740064</v>
      </c>
      <c r="J6">
        <f t="shared" si="3"/>
        <v>3.5</v>
      </c>
      <c r="X6">
        <f t="shared" si="4"/>
        <v>21.048670779051616</v>
      </c>
      <c r="Z6">
        <f t="shared" si="5"/>
        <v>21.048670779051612</v>
      </c>
      <c r="AA6">
        <v>6.5</v>
      </c>
    </row>
    <row r="7" spans="1:27" x14ac:dyDescent="0.25">
      <c r="A7" s="3">
        <v>6</v>
      </c>
      <c r="B7" s="3">
        <v>10.4</v>
      </c>
      <c r="C7" s="3">
        <v>28</v>
      </c>
      <c r="D7" s="3">
        <v>1.9</v>
      </c>
      <c r="E7" s="3">
        <v>130</v>
      </c>
      <c r="F7">
        <f t="shared" si="0"/>
        <v>20.8</v>
      </c>
      <c r="G7">
        <v>6</v>
      </c>
      <c r="H7">
        <f t="shared" si="1"/>
        <v>9514.250519543617</v>
      </c>
      <c r="I7">
        <f t="shared" si="2"/>
        <v>97.541019676562826</v>
      </c>
      <c r="J7">
        <f t="shared" si="3"/>
        <v>1.1000000000000001</v>
      </c>
      <c r="X7">
        <f t="shared" si="4"/>
        <v>10.890854532444616</v>
      </c>
      <c r="Z7">
        <f t="shared" si="5"/>
        <v>10.890854532444616</v>
      </c>
      <c r="AA7">
        <v>0.7</v>
      </c>
    </row>
    <row r="8" spans="1:27" x14ac:dyDescent="0.25">
      <c r="A8" s="3">
        <v>7</v>
      </c>
      <c r="B8" s="3">
        <v>18.899999999999999</v>
      </c>
      <c r="C8" s="3">
        <v>48</v>
      </c>
      <c r="D8" s="3">
        <v>5.2</v>
      </c>
      <c r="E8" s="3">
        <v>275</v>
      </c>
      <c r="F8">
        <f t="shared" si="0"/>
        <v>37.799999999999997</v>
      </c>
      <c r="G8" s="6">
        <v>7</v>
      </c>
      <c r="H8">
        <f t="shared" si="1"/>
        <v>53865.998965862877</v>
      </c>
      <c r="I8">
        <f t="shared" si="2"/>
        <v>232.09049736226359</v>
      </c>
      <c r="J8">
        <f t="shared" si="3"/>
        <v>2.2000000000000002</v>
      </c>
    </row>
    <row r="10" spans="1:27" x14ac:dyDescent="0.25">
      <c r="Z10">
        <f>DEGREES(PI()/3)</f>
        <v>59.999999999999993</v>
      </c>
    </row>
    <row r="20" spans="1:2" x14ac:dyDescent="0.25">
      <c r="A20">
        <v>500000</v>
      </c>
      <c r="B20" t="s">
        <v>13</v>
      </c>
    </row>
    <row r="21" spans="1:2" x14ac:dyDescent="0.25">
      <c r="A21" s="8">
        <v>0.18</v>
      </c>
      <c r="B21" t="s">
        <v>14</v>
      </c>
    </row>
    <row r="22" spans="1:2" x14ac:dyDescent="0.25">
      <c r="A22">
        <v>3</v>
      </c>
      <c r="B22" t="s">
        <v>15</v>
      </c>
    </row>
    <row r="23" spans="1:2" x14ac:dyDescent="0.25">
      <c r="A23">
        <f>A20*POWER(1+A21,A22)</f>
        <v>821515.99999999988</v>
      </c>
    </row>
    <row r="24" spans="1:2" x14ac:dyDescent="0.25">
      <c r="A24">
        <v>858003</v>
      </c>
    </row>
    <row r="25" spans="1:2" x14ac:dyDescent="0.25">
      <c r="A25">
        <f>A23-A20</f>
        <v>321515.99999999988</v>
      </c>
    </row>
    <row r="26" spans="1:2" x14ac:dyDescent="0.25">
      <c r="A26">
        <v>358003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Математика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2026-09-23T08:23:35Z</dcterms:created>
  <dcterms:modified xsi:type="dcterms:W3CDTF">2026-09-23T09:13:33Z</dcterms:modified>
</cp:coreProperties>
</file>