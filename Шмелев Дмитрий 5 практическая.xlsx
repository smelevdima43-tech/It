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vdo\Desktop\"/>
    </mc:Choice>
  </mc:AlternateContent>
  <bookViews>
    <workbookView xWindow="0" yWindow="0" windowWidth="30345" windowHeight="14490"/>
  </bookViews>
  <sheets>
    <sheet name="Математика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5" i="1" l="1"/>
  <c r="A24" i="1"/>
  <c r="A23" i="1"/>
  <c r="AA7" i="1"/>
  <c r="AA6" i="1"/>
  <c r="AA5" i="1"/>
  <c r="AA4" i="1"/>
  <c r="AA3" i="1"/>
  <c r="AA2" i="1"/>
  <c r="AA1" i="1"/>
  <c r="Z10" i="1"/>
  <c r="Z3" i="1"/>
  <c r="Z4" i="1"/>
  <c r="Z5" i="1"/>
  <c r="Z6" i="1"/>
  <c r="Z7" i="1"/>
  <c r="Z8" i="1"/>
  <c r="Z2" i="1"/>
  <c r="X8" i="1"/>
  <c r="X3" i="1"/>
  <c r="X4" i="1"/>
  <c r="X5" i="1"/>
  <c r="X6" i="1"/>
  <c r="X7" i="1"/>
  <c r="X2" i="1"/>
  <c r="T5" i="1"/>
  <c r="T4" i="1"/>
  <c r="L3" i="1"/>
  <c r="L4" i="1"/>
  <c r="L5" i="1"/>
  <c r="L6" i="1"/>
  <c r="L7" i="1"/>
  <c r="L8" i="1"/>
  <c r="L2" i="1"/>
  <c r="H3" i="1"/>
  <c r="I3" i="1" s="1"/>
  <c r="H4" i="1"/>
  <c r="I4" i="1" s="1"/>
  <c r="H5" i="1"/>
  <c r="I5" i="1" s="1"/>
  <c r="H6" i="1"/>
  <c r="I6" i="1" s="1"/>
  <c r="H7" i="1"/>
  <c r="I7" i="1" s="1"/>
  <c r="H8" i="1"/>
  <c r="I8" i="1" s="1"/>
  <c r="H2" i="1"/>
  <c r="I2" i="1" s="1"/>
  <c r="F3" i="1"/>
  <c r="F4" i="1"/>
  <c r="F5" i="1"/>
  <c r="F6" i="1"/>
  <c r="F7" i="1"/>
  <c r="F8" i="1"/>
  <c r="F2" i="1"/>
</calcChain>
</file>

<file path=xl/sharedStrings.xml><?xml version="1.0" encoding="utf-8"?>
<sst xmlns="http://schemas.openxmlformats.org/spreadsheetml/2006/main" count="22" uniqueCount="22">
  <si>
    <t>№ детали</t>
  </si>
  <si>
    <t>Радиус R</t>
  </si>
  <si>
    <t>Высота h</t>
  </si>
  <si>
    <t>Масса m</t>
  </si>
  <si>
    <t>Длина L</t>
  </si>
  <si>
    <t>№ п/п</t>
  </si>
  <si>
    <t>диаметр</t>
  </si>
  <si>
    <t>объем</t>
  </si>
  <si>
    <t>√V</t>
  </si>
  <si>
    <t>Норма массы</t>
  </si>
  <si>
    <t>|m  -  3|</t>
  </si>
  <si>
    <t>Сумма</t>
  </si>
  <si>
    <t>Ставка</t>
  </si>
  <si>
    <t>Срок</t>
  </si>
  <si>
    <t>Длина дуги</t>
  </si>
  <si>
    <t>Дуга через РАДИАНЫ</t>
  </si>
  <si>
    <t>Сумма кредита</t>
  </si>
  <si>
    <t>Годовая ставка</t>
  </si>
  <si>
    <t>Срок(лет)</t>
  </si>
  <si>
    <t>Сумма к возрасту</t>
  </si>
  <si>
    <t>Ежемесячный платеж</t>
  </si>
  <si>
    <t>Переплата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</si>
</sst>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8" formatCode="#,##0.00\ &quot;₽&quot;;[Red]\-#,##0.00\ &quot;₽&quot;"/>
    <numFmt numFmtId="164" formatCode="0.0"/>
  </numFmts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164" fontId="2" fillId="0" borderId="0" xfId="0" applyNumberFormat="1" applyFont="1"/>
    <xf numFmtId="9" fontId="0" fillId="0" borderId="0" xfId="0" applyNumberFormat="1"/>
    <xf numFmtId="164" fontId="0" fillId="0" borderId="0" xfId="0" applyNumberFormat="1"/>
    <xf numFmtId="8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5"/>
  <sheetViews>
    <sheetView tabSelected="1" workbookViewId="0">
      <selection activeCell="B34" sqref="B34"/>
    </sheetView>
  </sheetViews>
  <sheetFormatPr defaultRowHeight="15" x14ac:dyDescent="0.25"/>
  <cols>
    <col min="1" max="1" width="10.42578125" customWidth="1"/>
    <col min="2" max="2" width="14.85546875" customWidth="1"/>
    <col min="10" max="10" width="13.140625" customWidth="1"/>
    <col min="11" max="11" width="12.85546875" customWidth="1"/>
    <col min="24" max="24" width="11.140625" customWidth="1"/>
    <col min="26" max="26" width="20.28515625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5</v>
      </c>
      <c r="H1" s="1" t="s">
        <v>7</v>
      </c>
      <c r="I1" s="1" t="s">
        <v>8</v>
      </c>
      <c r="J1" s="1" t="s">
        <v>9</v>
      </c>
      <c r="K1" s="1">
        <v>3</v>
      </c>
      <c r="L1" s="1" t="s">
        <v>10</v>
      </c>
      <c r="S1" t="s">
        <v>11</v>
      </c>
      <c r="T1">
        <v>100000</v>
      </c>
      <c r="X1" t="s">
        <v>14</v>
      </c>
      <c r="Y1">
        <v>60</v>
      </c>
      <c r="Z1" t="s">
        <v>15</v>
      </c>
      <c r="AA1" s="4">
        <f>SUM(D2:D8)</f>
        <v>21.799999999999997</v>
      </c>
    </row>
    <row r="2" spans="1:27" ht="15.75" x14ac:dyDescent="0.25">
      <c r="A2">
        <v>1</v>
      </c>
      <c r="B2" s="2">
        <v>12.5</v>
      </c>
      <c r="C2" s="2">
        <v>30</v>
      </c>
      <c r="D2" s="2">
        <v>2.4</v>
      </c>
      <c r="E2" s="2">
        <v>145</v>
      </c>
      <c r="F2">
        <f>2*B2</f>
        <v>25</v>
      </c>
      <c r="G2" s="2">
        <v>1</v>
      </c>
      <c r="H2">
        <f>PI()*POWER(B2,2)*C2</f>
        <v>14726.215563702155</v>
      </c>
      <c r="I2">
        <f>SQRT(H2)</f>
        <v>121.3516195347312</v>
      </c>
      <c r="L2">
        <f>ABS(D2-$K$1)</f>
        <v>0.60000000000000009</v>
      </c>
      <c r="S2" t="s">
        <v>12</v>
      </c>
      <c r="T2" s="3">
        <v>0.12</v>
      </c>
      <c r="X2">
        <f>PI()*B2*$Y$1/180</f>
        <v>13.089969389957471</v>
      </c>
      <c r="Z2">
        <f>B2*RADIANS($Y$1)</f>
        <v>13.089969389957471</v>
      </c>
      <c r="AA2">
        <f>SUMIF(D2:D8,"&gt;2")</f>
        <v>18.100000000000001</v>
      </c>
    </row>
    <row r="3" spans="1:27" ht="15.75" x14ac:dyDescent="0.25">
      <c r="A3">
        <v>3</v>
      </c>
      <c r="B3" s="2">
        <v>8.3000000000000007</v>
      </c>
      <c r="C3" s="2">
        <v>25</v>
      </c>
      <c r="D3" s="2">
        <v>1.1000000000000001</v>
      </c>
      <c r="E3" s="2">
        <v>98</v>
      </c>
      <c r="F3">
        <f t="shared" ref="F3:F8" si="0">2*B3</f>
        <v>16.600000000000001</v>
      </c>
      <c r="G3" s="2">
        <v>2</v>
      </c>
      <c r="H3">
        <f t="shared" ref="H3:H8" si="1">PI()*POWER(B3,2)*C3</f>
        <v>5410.6079476450223</v>
      </c>
      <c r="I3">
        <f t="shared" ref="I3:I8" si="2">SQRT(H3)</f>
        <v>73.556834812578927</v>
      </c>
      <c r="L3">
        <f t="shared" ref="L3:L8" si="3">ABS(D3-$K$1)</f>
        <v>1.9</v>
      </c>
      <c r="S3" t="s">
        <v>13</v>
      </c>
      <c r="T3">
        <v>5</v>
      </c>
      <c r="X3">
        <f t="shared" ref="X3:X7" si="4">PI()*B3*$Y$1/180</f>
        <v>8.6917396749317621</v>
      </c>
      <c r="Z3">
        <f t="shared" ref="Z3:Z8" si="5">B3*RADIANS($Y$1)</f>
        <v>8.6917396749317604</v>
      </c>
      <c r="AA3">
        <f>SUMPRODUCT(D2:D8,E2:E8)/SUM(E2:E8)</f>
        <v>4.0744612928970474</v>
      </c>
    </row>
    <row r="4" spans="1:27" ht="15.75" x14ac:dyDescent="0.25">
      <c r="A4">
        <v>3</v>
      </c>
      <c r="B4" s="2">
        <v>15.7</v>
      </c>
      <c r="C4" s="2">
        <v>40</v>
      </c>
      <c r="D4" s="2">
        <v>4</v>
      </c>
      <c r="E4" s="2">
        <v>210</v>
      </c>
      <c r="F4">
        <f t="shared" si="0"/>
        <v>31.4</v>
      </c>
      <c r="G4" s="2">
        <v>3</v>
      </c>
      <c r="H4">
        <f t="shared" si="1"/>
        <v>30974.846927333921</v>
      </c>
      <c r="I4">
        <f t="shared" si="2"/>
        <v>175.99672419489494</v>
      </c>
      <c r="L4">
        <f t="shared" si="3"/>
        <v>1</v>
      </c>
      <c r="T4">
        <f>T1*POWER(1+T2,T3)</f>
        <v>176234.16832000006</v>
      </c>
      <c r="X4">
        <f t="shared" si="4"/>
        <v>16.441001553786581</v>
      </c>
      <c r="Z4">
        <f t="shared" si="5"/>
        <v>16.441001553786581</v>
      </c>
      <c r="AA4">
        <f>COUNTIF(D2:D8,"&gt;2")</f>
        <v>4</v>
      </c>
    </row>
    <row r="5" spans="1:27" ht="15.75" x14ac:dyDescent="0.25">
      <c r="A5">
        <v>4</v>
      </c>
      <c r="B5" s="2">
        <v>6.2</v>
      </c>
      <c r="C5" s="2">
        <v>18</v>
      </c>
      <c r="D5" s="2">
        <v>0.7</v>
      </c>
      <c r="E5" s="2">
        <v>75</v>
      </c>
      <c r="F5">
        <f t="shared" si="0"/>
        <v>12.4</v>
      </c>
      <c r="G5" s="2">
        <v>4</v>
      </c>
      <c r="H5">
        <f t="shared" si="1"/>
        <v>2173.7307888718501</v>
      </c>
      <c r="I5">
        <f t="shared" si="2"/>
        <v>46.623285908136616</v>
      </c>
      <c r="L5">
        <f t="shared" si="3"/>
        <v>2.2999999999999998</v>
      </c>
      <c r="T5">
        <f>T1*EXP(T2*T3)</f>
        <v>182211.88003905088</v>
      </c>
      <c r="X5">
        <f t="shared" si="4"/>
        <v>6.4926248174189052</v>
      </c>
      <c r="Z5">
        <f t="shared" si="5"/>
        <v>6.4926248174189052</v>
      </c>
      <c r="AA5" s="4">
        <f>AVERAGE(D2:D8)</f>
        <v>3.1142857142857139</v>
      </c>
    </row>
    <row r="6" spans="1:27" ht="15.75" x14ac:dyDescent="0.25">
      <c r="A6">
        <v>5</v>
      </c>
      <c r="B6" s="2">
        <v>20.100000000000001</v>
      </c>
      <c r="C6" s="2">
        <v>55</v>
      </c>
      <c r="D6" s="2">
        <v>6.5</v>
      </c>
      <c r="E6" s="2">
        <v>320</v>
      </c>
      <c r="F6">
        <f t="shared" si="0"/>
        <v>40.200000000000003</v>
      </c>
      <c r="G6" s="2">
        <v>5</v>
      </c>
      <c r="H6">
        <f t="shared" si="1"/>
        <v>69807.916638724681</v>
      </c>
      <c r="I6">
        <f t="shared" si="2"/>
        <v>264.21187830740064</v>
      </c>
      <c r="L6">
        <f t="shared" si="3"/>
        <v>3.5</v>
      </c>
      <c r="X6">
        <f t="shared" si="4"/>
        <v>21.048670779051616</v>
      </c>
      <c r="Z6">
        <f t="shared" si="5"/>
        <v>21.048670779051612</v>
      </c>
      <c r="AA6" s="4">
        <f>MAX(D2:D8)</f>
        <v>6.5</v>
      </c>
    </row>
    <row r="7" spans="1:27" ht="15.75" x14ac:dyDescent="0.25">
      <c r="A7">
        <v>6</v>
      </c>
      <c r="B7" s="2">
        <v>10.4</v>
      </c>
      <c r="C7" s="2">
        <v>28</v>
      </c>
      <c r="D7" s="2">
        <v>1.9</v>
      </c>
      <c r="E7" s="2">
        <v>130</v>
      </c>
      <c r="F7">
        <f t="shared" si="0"/>
        <v>20.8</v>
      </c>
      <c r="G7" s="2">
        <v>6</v>
      </c>
      <c r="H7">
        <f t="shared" si="1"/>
        <v>9514.250519543617</v>
      </c>
      <c r="I7">
        <f t="shared" si="2"/>
        <v>97.541019676562826</v>
      </c>
      <c r="L7">
        <f t="shared" si="3"/>
        <v>1.1000000000000001</v>
      </c>
      <c r="X7">
        <f t="shared" si="4"/>
        <v>10.890854532444616</v>
      </c>
      <c r="Z7">
        <f t="shared" si="5"/>
        <v>10.890854532444616</v>
      </c>
      <c r="AA7" s="4">
        <f>MIN(D2:D8)</f>
        <v>0.7</v>
      </c>
    </row>
    <row r="8" spans="1:27" ht="15.75" x14ac:dyDescent="0.25">
      <c r="A8">
        <v>7</v>
      </c>
      <c r="B8" s="2">
        <v>18.899999999999999</v>
      </c>
      <c r="C8" s="2">
        <v>48</v>
      </c>
      <c r="D8" s="2">
        <v>5.2</v>
      </c>
      <c r="E8" s="2">
        <v>275</v>
      </c>
      <c r="F8">
        <f t="shared" si="0"/>
        <v>37.799999999999997</v>
      </c>
      <c r="G8" s="2">
        <v>7</v>
      </c>
      <c r="H8">
        <f t="shared" si="1"/>
        <v>53865.998965862877</v>
      </c>
      <c r="I8">
        <f t="shared" si="2"/>
        <v>232.09049736226359</v>
      </c>
      <c r="L8">
        <f t="shared" si="3"/>
        <v>2.2000000000000002</v>
      </c>
      <c r="X8">
        <f>PI()*B8*$Y$1/180</f>
        <v>19.792033717615695</v>
      </c>
      <c r="Z8">
        <f t="shared" si="5"/>
        <v>19.792033717615695</v>
      </c>
    </row>
    <row r="10" spans="1:27" x14ac:dyDescent="0.25">
      <c r="Z10">
        <f>DEGREES(PI()/3)</f>
        <v>59.999999999999993</v>
      </c>
    </row>
    <row r="20" spans="1:2" x14ac:dyDescent="0.25">
      <c r="A20">
        <v>500000</v>
      </c>
      <c r="B20" t="s">
        <v>16</v>
      </c>
    </row>
    <row r="21" spans="1:2" x14ac:dyDescent="0.25">
      <c r="A21" s="3">
        <v>0.18</v>
      </c>
      <c r="B21" t="s">
        <v>17</v>
      </c>
    </row>
    <row r="22" spans="1:2" x14ac:dyDescent="0.25">
      <c r="A22">
        <v>3</v>
      </c>
      <c r="B22" t="s">
        <v>18</v>
      </c>
    </row>
    <row r="23" spans="1:2" x14ac:dyDescent="0.25">
      <c r="A23">
        <f>A20*POWER(1+A21,A22)</f>
        <v>821515.99999999988</v>
      </c>
      <c r="B23" t="s">
        <v>19</v>
      </c>
    </row>
    <row r="24" spans="1:2" x14ac:dyDescent="0.25">
      <c r="A24" s="5">
        <f>-PMT(A21/12,A22*12, A20)</f>
        <v>18076.197767958416</v>
      </c>
      <c r="B24" t="s">
        <v>20</v>
      </c>
    </row>
    <row r="25" spans="1:2" x14ac:dyDescent="0.25">
      <c r="A25">
        <f>A20*POWER(1+A21,A22)-A20</f>
        <v>321515.99999999988</v>
      </c>
      <c r="B2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Математика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Студенты Левченко Д.О.</dc:creator>
  <cp:lastModifiedBy>Студенты Левченко Д.О.</cp:lastModifiedBy>
  <dcterms:created xsi:type="dcterms:W3CDTF">2026-09-30T08:16:52Z</dcterms:created>
  <dcterms:modified xsi:type="dcterms:W3CDTF">2026-09-30T09:04:29Z</dcterms:modified>
</cp:coreProperties>
</file>